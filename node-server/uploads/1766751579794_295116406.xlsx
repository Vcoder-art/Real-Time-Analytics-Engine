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d68cf3a89884f07/Desktop/"/>
    </mc:Choice>
  </mc:AlternateContent>
  <xr:revisionPtr revIDLastSave="19" documentId="13_ncr:1_{D36CAD61-2A2D-4CDD-B455-65600B64D92A}" xr6:coauthVersionLast="47" xr6:coauthVersionMax="47" xr10:uidLastSave="{33D379A9-5C30-40CE-98F2-296993B087CB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B132" i="1"/>
  <c r="B131" i="1"/>
  <c r="B116" i="1"/>
  <c r="B115" i="1"/>
  <c r="F114" i="1"/>
  <c r="H112" i="1"/>
  <c r="H111" i="1"/>
  <c r="F112" i="1"/>
  <c r="F109" i="1"/>
  <c r="B121" i="1"/>
  <c r="C114" i="1" l="1"/>
  <c r="C111" i="1"/>
  <c r="B112" i="1"/>
  <c r="B100" i="1"/>
  <c r="B97" i="1"/>
  <c r="F97" i="1"/>
  <c r="H97" i="1" s="1"/>
  <c r="G101" i="1"/>
  <c r="G100" i="1"/>
  <c r="G95" i="1"/>
  <c r="C99" i="1"/>
  <c r="C96" i="1"/>
  <c r="C95" i="1"/>
  <c r="B79" i="1"/>
  <c r="C74" i="1"/>
  <c r="C76" i="1"/>
  <c r="B75" i="1"/>
  <c r="C78" i="1"/>
  <c r="E37" i="2"/>
  <c r="E30" i="2"/>
  <c r="G22" i="2"/>
  <c r="I7" i="2"/>
  <c r="H5" i="2"/>
  <c r="H14" i="2"/>
  <c r="B103" i="1" l="1"/>
  <c r="B80" i="1"/>
  <c r="I6" i="2"/>
  <c r="G8" i="2" s="1"/>
  <c r="B81" i="1" l="1"/>
  <c r="D7" i="2"/>
  <c r="H55" i="1"/>
  <c r="G57" i="1" s="1"/>
  <c r="H57" i="1" s="1"/>
  <c r="C68" i="1"/>
  <c r="C67" i="1"/>
  <c r="D61" i="1"/>
  <c r="D60" i="1"/>
  <c r="D59" i="1"/>
  <c r="D58" i="1"/>
  <c r="E58" i="1" s="1"/>
  <c r="B58" i="1"/>
  <c r="B60" i="1" s="1"/>
  <c r="D27" i="1"/>
  <c r="D22" i="1"/>
  <c r="D23" i="1"/>
  <c r="C24" i="1" s="1"/>
  <c r="C36" i="1"/>
  <c r="A44" i="1"/>
  <c r="M18" i="1"/>
  <c r="M17" i="1"/>
  <c r="K20" i="1"/>
  <c r="H32" i="1"/>
  <c r="H31" i="1"/>
  <c r="H8" i="1"/>
  <c r="H7" i="1"/>
  <c r="B61" i="1" l="1"/>
  <c r="E61" i="1" s="1"/>
  <c r="E60" i="1"/>
  <c r="D28" i="1"/>
  <c r="B59" i="1"/>
  <c r="E59" i="1" s="1"/>
  <c r="H33" i="1"/>
  <c r="L20" i="1"/>
</calcChain>
</file>

<file path=xl/sharedStrings.xml><?xml version="1.0" encoding="utf-8"?>
<sst xmlns="http://schemas.openxmlformats.org/spreadsheetml/2006/main" count="154" uniqueCount="109">
  <si>
    <t>Become A Crorepati</t>
  </si>
  <si>
    <t>Systematic Investment Plan Calculator</t>
  </si>
  <si>
    <t>Mutual Fund Sip Calculator Step Up</t>
  </si>
  <si>
    <t>Goal based Top Up SIP</t>
  </si>
  <si>
    <t>Target Amount SIP Calculator</t>
  </si>
  <si>
    <t>SIP with Annual Increase</t>
  </si>
  <si>
    <t>Public Provident Fund (PPF) Calculator</t>
  </si>
  <si>
    <t>Employees Provident Fund Calculator</t>
  </si>
  <si>
    <t>Retirement Planning Calculator</t>
  </si>
  <si>
    <t>Asset Allocation</t>
  </si>
  <si>
    <t>Home Loan EMI Calculator</t>
  </si>
  <si>
    <t>Personal Loan EMI Calculator</t>
  </si>
  <si>
    <t>Car Loan EMI Calculator</t>
  </si>
  <si>
    <t>Education Loan EMI Calculator</t>
  </si>
  <si>
    <t>Goal Setting Calculator</t>
  </si>
  <si>
    <t>Composite Financial Goal Planner</t>
  </si>
  <si>
    <t>Cost Inflation Index</t>
  </si>
  <si>
    <t>Compounding Calculator</t>
  </si>
  <si>
    <t>Spending Less Calculator</t>
  </si>
  <si>
    <t>Future Value Inflation Calculator</t>
  </si>
  <si>
    <t>Human Life Value Calculator</t>
  </si>
  <si>
    <t>Lumpsum Target Calculator</t>
  </si>
  <si>
    <t>Lumpsum Calculator</t>
  </si>
  <si>
    <t>Children Education Planner</t>
  </si>
  <si>
    <t>Networth Calculator</t>
  </si>
  <si>
    <t>Calculator's</t>
  </si>
  <si>
    <t>BFC Capital</t>
  </si>
  <si>
    <t>No</t>
  </si>
  <si>
    <t>Yes</t>
  </si>
  <si>
    <t>SIP Amount</t>
  </si>
  <si>
    <t>Duration of SIP</t>
  </si>
  <si>
    <t>Return</t>
  </si>
  <si>
    <t>Step Up %</t>
  </si>
  <si>
    <t>Net Worth Calculator</t>
  </si>
  <si>
    <t>Equity Shares</t>
  </si>
  <si>
    <t>Mutual Funds</t>
  </si>
  <si>
    <t>Cash &amp; Cash Equivalent</t>
  </si>
  <si>
    <t>Property</t>
  </si>
  <si>
    <t>Jewellery and Other Commodities</t>
  </si>
  <si>
    <t>Bank FDs</t>
  </si>
  <si>
    <t>Financial Assets</t>
  </si>
  <si>
    <t>Liabilities</t>
  </si>
  <si>
    <t>Home Loan</t>
  </si>
  <si>
    <t>Personal Loans</t>
  </si>
  <si>
    <t>Other Loans</t>
  </si>
  <si>
    <t>Credit Card Dues</t>
  </si>
  <si>
    <t>Other Outstanding Liabilities</t>
  </si>
  <si>
    <t>Total Assets</t>
  </si>
  <si>
    <t>Total Liabilities</t>
  </si>
  <si>
    <t>Net Worth</t>
  </si>
  <si>
    <t>Others (If any)</t>
  </si>
  <si>
    <t>Other Fixed Income</t>
  </si>
  <si>
    <t>Amount Required</t>
  </si>
  <si>
    <t>Time</t>
  </si>
  <si>
    <t>Annual SIP Calculator</t>
  </si>
  <si>
    <t>Duration</t>
  </si>
  <si>
    <t>Investment Amount</t>
  </si>
  <si>
    <t>Rate of Return</t>
  </si>
  <si>
    <t>Time (Year)</t>
  </si>
  <si>
    <t>Compounding Frequency Annual</t>
  </si>
  <si>
    <t>Compounding Frequency Half-Yearly</t>
  </si>
  <si>
    <t>Compounding Frequency Quarterly</t>
  </si>
  <si>
    <t>Compounding Frequency Monthly</t>
  </si>
  <si>
    <t>Future Value</t>
  </si>
  <si>
    <t>Step Up SIP Calculator</t>
  </si>
  <si>
    <t>Rate</t>
  </si>
  <si>
    <t>Future Value for 1st Year</t>
  </si>
  <si>
    <t>Cost of Delay</t>
  </si>
  <si>
    <t>Step Up</t>
  </si>
  <si>
    <t>SIP Tenure</t>
  </si>
  <si>
    <t>Future Value Required</t>
  </si>
  <si>
    <t xml:space="preserve">Current Cost </t>
  </si>
  <si>
    <t>Inflation</t>
  </si>
  <si>
    <t>O/s Home Loan</t>
  </si>
  <si>
    <t>Child Future</t>
  </si>
  <si>
    <t>Income</t>
  </si>
  <si>
    <t>Time Old Policy</t>
  </si>
  <si>
    <t>Inflation Adjusted Return</t>
  </si>
  <si>
    <t>Cost of Delay in SIP Calculator</t>
  </si>
  <si>
    <t>FV 1</t>
  </si>
  <si>
    <t>FV 2</t>
  </si>
  <si>
    <t>Difference</t>
  </si>
  <si>
    <t>Monthly Investment Amount</t>
  </si>
  <si>
    <t>Time 2</t>
  </si>
  <si>
    <t>Current Cost</t>
  </si>
  <si>
    <t>FV</t>
  </si>
  <si>
    <t>Current SIP</t>
  </si>
  <si>
    <t>Retirement SIP</t>
  </si>
  <si>
    <t>Remaining Amount</t>
  </si>
  <si>
    <t>SIP Required</t>
  </si>
  <si>
    <t>Lumpsum Required</t>
  </si>
  <si>
    <t>Current Investment</t>
  </si>
  <si>
    <t>Future Value of Investment</t>
  </si>
  <si>
    <t>Additional Corpus Required</t>
  </si>
  <si>
    <t>Car Purchase</t>
  </si>
  <si>
    <t>Current Value of Goal</t>
  </si>
  <si>
    <t>Target Amount Calculator</t>
  </si>
  <si>
    <t>Target Amount</t>
  </si>
  <si>
    <t>Investment Period</t>
  </si>
  <si>
    <t>Expected Rate of Return</t>
  </si>
  <si>
    <t>Monthly SIP Required</t>
  </si>
  <si>
    <t>One Time Investment Required</t>
  </si>
  <si>
    <t>Your Target Amount</t>
  </si>
  <si>
    <t>How much you can invest Yearly</t>
  </si>
  <si>
    <t>How many years you will continue to invest</t>
  </si>
  <si>
    <t>Monthly SIP</t>
  </si>
  <si>
    <t>Current Age</t>
  </si>
  <si>
    <t>If Delay in SIP</t>
  </si>
  <si>
    <t xml:space="preserve">Invest till I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</si>
</sst>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0" applyNumberFormat="1"/>
    <xf numFmtId="0" fontId="0" fillId="2" borderId="0" xfId="0" applyFill="1"/>
    <xf numFmtId="0" fontId="1" fillId="0" borderId="0" xfId="0" applyFont="1"/>
    <xf numFmtId="8" fontId="0" fillId="0" borderId="0" xfId="0" applyNumberFormat="1"/>
    <xf numFmtId="10" fontId="0" fillId="0" borderId="0" xfId="0" applyNumberFormat="1"/>
    <xf numFmtId="0" fontId="0" fillId="3" borderId="0" xfId="0" applyFill="1"/>
    <xf numFmtId="0" fontId="1" fillId="3" borderId="0" xfId="0" applyFont="1" applyFill="1"/>
    <xf numFmtId="9" fontId="0" fillId="3" borderId="0" xfId="0" applyNumberFormat="1" applyFill="1"/>
    <xf numFmtId="9" fontId="0" fillId="3" borderId="0" xfId="1" applyFont="1" applyFill="1"/>
    <xf numFmtId="6" fontId="0" fillId="3" borderId="0" xfId="0" applyNumberFormat="1" applyFill="1"/>
    <xf numFmtId="0" fontId="1" fillId="3" borderId="0" xfId="0" applyFont="1" applyFill="1" applyAlignment="1">
      <alignment horizontal="center" vertical="center"/>
    </xf>
    <xf numFmtId="49" fontId="0" fillId="0" borderId="0" xfId="1" applyNumberFormat="1" applyFont="1"/>
    <xf numFmtId="0" fontId="1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topLeftCell="A64" zoomScaleNormal="100" workbookViewId="0">
      <selection activeCell="A77" sqref="A77"/>
    </sheetView>
  </sheetViews>
  <sheetFormatPr defaultRowHeight="14.4" x14ac:dyDescent="0.3"/>
  <cols>
    <col min="1" max="1" width="32.5546875" bestFit="1" customWidth="1"/>
    <col min="2" max="2" width="13.6640625" bestFit="1" customWidth="1"/>
    <col min="3" max="3" width="11.88671875" bestFit="1" customWidth="1"/>
    <col min="4" max="4" width="12.88671875" bestFit="1" customWidth="1"/>
    <col min="5" max="5" width="16.77734375" bestFit="1" customWidth="1"/>
    <col min="6" max="6" width="14.44140625" bestFit="1" customWidth="1"/>
    <col min="7" max="7" width="28.77734375" bestFit="1" customWidth="1"/>
    <col min="8" max="8" width="12.88671875" bestFit="1" customWidth="1"/>
    <col min="9" max="9" width="10.44140625" bestFit="1" customWidth="1"/>
    <col min="11" max="11" width="20.77734375" bestFit="1" customWidth="1"/>
    <col min="12" max="12" width="12.5546875" bestFit="1" customWidth="1"/>
  </cols>
  <sheetData>
    <row r="1" spans="1:12" x14ac:dyDescent="0.3">
      <c r="A1" t="s">
        <v>25</v>
      </c>
      <c r="B1" t="s">
        <v>26</v>
      </c>
    </row>
    <row r="2" spans="1:12" x14ac:dyDescent="0.3">
      <c r="A2" t="s">
        <v>0</v>
      </c>
      <c r="B2" t="s">
        <v>27</v>
      </c>
    </row>
    <row r="3" spans="1:12" x14ac:dyDescent="0.3">
      <c r="A3" t="s">
        <v>1</v>
      </c>
      <c r="B3" t="s">
        <v>28</v>
      </c>
    </row>
    <row r="4" spans="1:12" x14ac:dyDescent="0.3">
      <c r="A4" s="2" t="s">
        <v>2</v>
      </c>
      <c r="B4" t="s">
        <v>27</v>
      </c>
    </row>
    <row r="5" spans="1:12" x14ac:dyDescent="0.3">
      <c r="A5" t="s">
        <v>3</v>
      </c>
    </row>
    <row r="6" spans="1:12" x14ac:dyDescent="0.3">
      <c r="A6" t="s">
        <v>4</v>
      </c>
      <c r="B6" t="s">
        <v>27</v>
      </c>
      <c r="C6" s="6"/>
      <c r="F6" t="s">
        <v>29</v>
      </c>
      <c r="G6">
        <v>-10000</v>
      </c>
    </row>
    <row r="7" spans="1:12" x14ac:dyDescent="0.3">
      <c r="A7" s="2" t="s">
        <v>5</v>
      </c>
      <c r="B7" t="s">
        <v>27</v>
      </c>
      <c r="C7" s="6"/>
      <c r="F7" t="s">
        <v>30</v>
      </c>
      <c r="G7">
        <v>10</v>
      </c>
      <c r="H7">
        <f>10*12</f>
        <v>120</v>
      </c>
    </row>
    <row r="8" spans="1:12" x14ac:dyDescent="0.3">
      <c r="A8" t="s">
        <v>6</v>
      </c>
      <c r="B8" t="s">
        <v>27</v>
      </c>
      <c r="F8" t="s">
        <v>31</v>
      </c>
      <c r="G8" s="1">
        <v>0.12</v>
      </c>
      <c r="H8">
        <f>G8/12</f>
        <v>0.01</v>
      </c>
    </row>
    <row r="9" spans="1:12" x14ac:dyDescent="0.3">
      <c r="A9" t="s">
        <v>7</v>
      </c>
      <c r="B9" t="s">
        <v>27</v>
      </c>
      <c r="F9" t="s">
        <v>32</v>
      </c>
      <c r="G9" s="1">
        <v>0.1</v>
      </c>
    </row>
    <row r="10" spans="1:12" x14ac:dyDescent="0.3">
      <c r="A10" t="s">
        <v>8</v>
      </c>
      <c r="B10" t="s">
        <v>28</v>
      </c>
    </row>
    <row r="11" spans="1:12" x14ac:dyDescent="0.3">
      <c r="A11" t="s">
        <v>9</v>
      </c>
      <c r="B11" t="s">
        <v>27</v>
      </c>
    </row>
    <row r="12" spans="1:12" x14ac:dyDescent="0.3">
      <c r="A12" t="s">
        <v>10</v>
      </c>
      <c r="B12" t="s">
        <v>28</v>
      </c>
    </row>
    <row r="13" spans="1:12" x14ac:dyDescent="0.3">
      <c r="A13" t="s">
        <v>11</v>
      </c>
    </row>
    <row r="14" spans="1:12" x14ac:dyDescent="0.3">
      <c r="A14" t="s">
        <v>12</v>
      </c>
      <c r="G14" s="13" t="s">
        <v>33</v>
      </c>
      <c r="H14" s="13"/>
      <c r="K14" s="7" t="s">
        <v>96</v>
      </c>
    </row>
    <row r="15" spans="1:12" x14ac:dyDescent="0.3">
      <c r="A15" t="s">
        <v>13</v>
      </c>
      <c r="G15" s="3" t="s">
        <v>40</v>
      </c>
    </row>
    <row r="16" spans="1:12" x14ac:dyDescent="0.3">
      <c r="A16" t="s">
        <v>14</v>
      </c>
      <c r="G16" t="s">
        <v>34</v>
      </c>
      <c r="H16">
        <v>100000</v>
      </c>
      <c r="K16" t="s">
        <v>97</v>
      </c>
      <c r="L16">
        <v>50000000</v>
      </c>
    </row>
    <row r="17" spans="1:13" x14ac:dyDescent="0.3">
      <c r="A17" t="s">
        <v>15</v>
      </c>
      <c r="G17" t="s">
        <v>35</v>
      </c>
      <c r="H17">
        <v>200000</v>
      </c>
      <c r="K17" t="s">
        <v>99</v>
      </c>
      <c r="L17" s="1">
        <v>0.16</v>
      </c>
      <c r="M17">
        <f>L17/12</f>
        <v>1.3333333333333334E-2</v>
      </c>
    </row>
    <row r="18" spans="1:13" x14ac:dyDescent="0.3">
      <c r="A18" t="s">
        <v>16</v>
      </c>
      <c r="G18" t="s">
        <v>36</v>
      </c>
      <c r="H18">
        <v>100000</v>
      </c>
      <c r="K18" t="s">
        <v>98</v>
      </c>
      <c r="L18">
        <v>5</v>
      </c>
      <c r="M18">
        <f>L18*12</f>
        <v>60</v>
      </c>
    </row>
    <row r="19" spans="1:13" x14ac:dyDescent="0.3">
      <c r="A19" s="2" t="s">
        <v>17</v>
      </c>
      <c r="B19" s="6"/>
      <c r="G19" t="s">
        <v>37</v>
      </c>
      <c r="H19">
        <v>5000000</v>
      </c>
      <c r="K19" t="s">
        <v>101</v>
      </c>
      <c r="L19" t="s">
        <v>100</v>
      </c>
    </row>
    <row r="20" spans="1:13" x14ac:dyDescent="0.3">
      <c r="A20" t="s">
        <v>18</v>
      </c>
      <c r="G20" t="s">
        <v>38</v>
      </c>
      <c r="H20">
        <v>500000</v>
      </c>
      <c r="K20" s="4">
        <f>PV(L17,L18,,L16)</f>
        <v>-23805650.770710118</v>
      </c>
      <c r="L20" s="4">
        <f>PMT(M17,M18,,L16)</f>
        <v>-549236.18915128987</v>
      </c>
    </row>
    <row r="21" spans="1:13" x14ac:dyDescent="0.3">
      <c r="A21" t="s">
        <v>19</v>
      </c>
      <c r="C21">
        <v>12000000</v>
      </c>
      <c r="G21" t="s">
        <v>50</v>
      </c>
      <c r="H21">
        <v>50000</v>
      </c>
      <c r="K21" t="s">
        <v>102</v>
      </c>
      <c r="L21">
        <f>L16</f>
        <v>50000000</v>
      </c>
    </row>
    <row r="22" spans="1:13" x14ac:dyDescent="0.3">
      <c r="A22" s="2" t="s">
        <v>20</v>
      </c>
      <c r="C22">
        <v>15</v>
      </c>
      <c r="D22">
        <f>C22*12</f>
        <v>180</v>
      </c>
      <c r="G22" t="s">
        <v>39</v>
      </c>
      <c r="H22">
        <v>100000</v>
      </c>
    </row>
    <row r="23" spans="1:13" x14ac:dyDescent="0.3">
      <c r="A23" s="2" t="s">
        <v>21</v>
      </c>
      <c r="B23" s="6"/>
      <c r="C23" s="1">
        <v>0.18</v>
      </c>
      <c r="D23">
        <f>C23/12</f>
        <v>1.4999999999999999E-2</v>
      </c>
      <c r="G23" t="s">
        <v>51</v>
      </c>
      <c r="H23">
        <v>50000</v>
      </c>
    </row>
    <row r="24" spans="1:13" x14ac:dyDescent="0.3">
      <c r="A24" t="s">
        <v>22</v>
      </c>
      <c r="C24" s="4">
        <f>PMT(D23,D22,,C21)</f>
        <v>-13250.524729538625</v>
      </c>
      <c r="G24" s="3" t="s">
        <v>41</v>
      </c>
    </row>
    <row r="25" spans="1:13" x14ac:dyDescent="0.3">
      <c r="A25" t="s">
        <v>23</v>
      </c>
      <c r="G25" t="s">
        <v>42</v>
      </c>
      <c r="H25">
        <v>4000000</v>
      </c>
    </row>
    <row r="26" spans="1:13" x14ac:dyDescent="0.3">
      <c r="A26" s="2" t="s">
        <v>24</v>
      </c>
      <c r="B26" s="6"/>
      <c r="C26">
        <v>-10000</v>
      </c>
      <c r="G26" t="s">
        <v>43</v>
      </c>
      <c r="H26">
        <v>200000</v>
      </c>
      <c r="K26" t="s">
        <v>21</v>
      </c>
    </row>
    <row r="27" spans="1:13" x14ac:dyDescent="0.3">
      <c r="C27" s="5">
        <v>5.5E-2</v>
      </c>
      <c r="D27">
        <f>C27/12</f>
        <v>4.5833333333333334E-3</v>
      </c>
      <c r="G27" t="s">
        <v>44</v>
      </c>
      <c r="H27">
        <v>100000</v>
      </c>
      <c r="K27" t="s">
        <v>52</v>
      </c>
      <c r="L27">
        <v>500000</v>
      </c>
    </row>
    <row r="28" spans="1:13" x14ac:dyDescent="0.3">
      <c r="D28" s="4">
        <f>FV(D27,D22,C26)</f>
        <v>2787455.5035976055</v>
      </c>
      <c r="G28" t="s">
        <v>45</v>
      </c>
      <c r="H28">
        <v>50000</v>
      </c>
      <c r="K28" t="s">
        <v>31</v>
      </c>
      <c r="L28" s="1">
        <v>0.14000000000000001</v>
      </c>
    </row>
    <row r="29" spans="1:13" x14ac:dyDescent="0.3">
      <c r="A29" t="s">
        <v>67</v>
      </c>
      <c r="G29" t="s">
        <v>46</v>
      </c>
      <c r="H29">
        <v>50000</v>
      </c>
      <c r="K29" t="s">
        <v>55</v>
      </c>
      <c r="L29">
        <v>10</v>
      </c>
    </row>
    <row r="30" spans="1:13" x14ac:dyDescent="0.3">
      <c r="A30" t="s">
        <v>68</v>
      </c>
    </row>
    <row r="31" spans="1:13" x14ac:dyDescent="0.3">
      <c r="G31" t="s">
        <v>47</v>
      </c>
      <c r="H31">
        <f>SUM(H16:H23)</f>
        <v>6100000</v>
      </c>
    </row>
    <row r="32" spans="1:13" x14ac:dyDescent="0.3">
      <c r="G32" t="s">
        <v>48</v>
      </c>
      <c r="H32">
        <f>SUM(H25:H29)</f>
        <v>4400000</v>
      </c>
    </row>
    <row r="33" spans="1:8" x14ac:dyDescent="0.3">
      <c r="C33">
        <v>-50000</v>
      </c>
      <c r="G33" s="3" t="s">
        <v>49</v>
      </c>
      <c r="H33" s="3">
        <f>H31-H32</f>
        <v>1700000</v>
      </c>
    </row>
    <row r="34" spans="1:8" x14ac:dyDescent="0.3">
      <c r="C34">
        <v>15</v>
      </c>
    </row>
    <row r="35" spans="1:8" x14ac:dyDescent="0.3">
      <c r="C35" s="1">
        <v>0.06</v>
      </c>
    </row>
    <row r="36" spans="1:8" x14ac:dyDescent="0.3">
      <c r="C36" s="4">
        <f>FV(C35,C34,,C33)</f>
        <v>119827.90965498461</v>
      </c>
    </row>
    <row r="37" spans="1:8" x14ac:dyDescent="0.3">
      <c r="C37">
        <v>15</v>
      </c>
      <c r="G37" s="3" t="s">
        <v>20</v>
      </c>
    </row>
    <row r="38" spans="1:8" x14ac:dyDescent="0.3">
      <c r="C38">
        <v>20</v>
      </c>
    </row>
    <row r="39" spans="1:8" x14ac:dyDescent="0.3">
      <c r="A39" s="7" t="s">
        <v>54</v>
      </c>
    </row>
    <row r="40" spans="1:8" x14ac:dyDescent="0.3">
      <c r="A40" t="s">
        <v>103</v>
      </c>
      <c r="B40">
        <v>100000</v>
      </c>
    </row>
    <row r="41" spans="1:8" x14ac:dyDescent="0.3">
      <c r="A41" t="s">
        <v>99</v>
      </c>
      <c r="B41" s="1">
        <v>0.12</v>
      </c>
      <c r="F41" s="1"/>
    </row>
    <row r="42" spans="1:8" x14ac:dyDescent="0.3">
      <c r="A42" t="s">
        <v>104</v>
      </c>
      <c r="B42">
        <v>10</v>
      </c>
      <c r="F42" s="4"/>
    </row>
    <row r="44" spans="1:8" x14ac:dyDescent="0.3">
      <c r="A44" s="4">
        <f>FV(B41,B42,-B40,,1)</f>
        <v>1965458.3277879308</v>
      </c>
      <c r="F44" s="1"/>
    </row>
    <row r="45" spans="1:8" x14ac:dyDescent="0.3">
      <c r="F45" s="4"/>
    </row>
    <row r="46" spans="1:8" x14ac:dyDescent="0.3">
      <c r="F46" s="4"/>
    </row>
    <row r="49" spans="1:9" x14ac:dyDescent="0.3">
      <c r="B49">
        <v>20000000</v>
      </c>
    </row>
    <row r="51" spans="1:9" x14ac:dyDescent="0.3">
      <c r="F51" s="5"/>
    </row>
    <row r="53" spans="1:9" x14ac:dyDescent="0.3">
      <c r="F53" s="4"/>
      <c r="G53" s="11" t="s">
        <v>69</v>
      </c>
      <c r="H53" s="6"/>
    </row>
    <row r="54" spans="1:9" x14ac:dyDescent="0.3">
      <c r="A54" s="7" t="s">
        <v>17</v>
      </c>
      <c r="B54" s="6"/>
      <c r="C54" s="6"/>
      <c r="D54" s="6"/>
      <c r="E54" s="6"/>
      <c r="G54" s="6">
        <v>800000</v>
      </c>
      <c r="H54" s="6"/>
    </row>
    <row r="55" spans="1:9" x14ac:dyDescent="0.3">
      <c r="A55" s="6" t="s">
        <v>56</v>
      </c>
      <c r="B55" s="6">
        <v>1000000</v>
      </c>
      <c r="C55" s="6"/>
      <c r="D55" s="6"/>
      <c r="E55" s="6"/>
      <c r="G55" s="8">
        <v>0.12</v>
      </c>
      <c r="H55" s="6">
        <f>G55/12</f>
        <v>0.01</v>
      </c>
    </row>
    <row r="56" spans="1:9" x14ac:dyDescent="0.3">
      <c r="A56" s="6" t="s">
        <v>57</v>
      </c>
      <c r="B56" s="8">
        <v>0.12</v>
      </c>
      <c r="C56" s="6"/>
      <c r="D56" s="6"/>
      <c r="E56" s="6"/>
      <c r="G56" s="6">
        <v>36</v>
      </c>
      <c r="H56" s="6"/>
      <c r="I56" s="4"/>
    </row>
    <row r="57" spans="1:9" x14ac:dyDescent="0.3">
      <c r="A57" s="6" t="s">
        <v>58</v>
      </c>
      <c r="B57" s="6">
        <v>10</v>
      </c>
      <c r="C57" s="6"/>
      <c r="D57" s="6"/>
      <c r="E57" s="6" t="s">
        <v>63</v>
      </c>
      <c r="F57" s="5"/>
      <c r="G57" s="6">
        <f>NPER(H55,-5000,,G54)</f>
        <v>96.02810792198035</v>
      </c>
      <c r="H57" s="6">
        <f>G57/12</f>
        <v>8.0023423268316964</v>
      </c>
    </row>
    <row r="58" spans="1:9" x14ac:dyDescent="0.3">
      <c r="A58" s="6" t="s">
        <v>59</v>
      </c>
      <c r="B58" s="6">
        <f>B57</f>
        <v>10</v>
      </c>
      <c r="C58" s="6" t="s">
        <v>31</v>
      </c>
      <c r="D58" s="8">
        <f>B56</f>
        <v>0.12</v>
      </c>
      <c r="E58" s="10">
        <f>FV(D58,B58,,-B55)</f>
        <v>3105848.2083442113</v>
      </c>
      <c r="F58" s="4"/>
      <c r="G58" s="4"/>
    </row>
    <row r="59" spans="1:9" x14ac:dyDescent="0.3">
      <c r="A59" s="6" t="s">
        <v>60</v>
      </c>
      <c r="B59" s="6">
        <f>B58*2</f>
        <v>20</v>
      </c>
      <c r="C59" s="6" t="s">
        <v>31</v>
      </c>
      <c r="D59" s="9">
        <f>B56/2</f>
        <v>0.06</v>
      </c>
      <c r="E59" s="10">
        <f>FV(D59,B59,,-B55)</f>
        <v>3207135.4722128478</v>
      </c>
    </row>
    <row r="60" spans="1:9" x14ac:dyDescent="0.3">
      <c r="A60" s="6" t="s">
        <v>61</v>
      </c>
      <c r="B60" s="6">
        <f>B58*4</f>
        <v>40</v>
      </c>
      <c r="C60" s="6" t="s">
        <v>31</v>
      </c>
      <c r="D60" s="9">
        <f>B56/4</f>
        <v>0.03</v>
      </c>
      <c r="E60" s="10">
        <f>FV(D60,B60,,-B55)</f>
        <v>3262037.7919990718</v>
      </c>
    </row>
    <row r="61" spans="1:9" x14ac:dyDescent="0.3">
      <c r="A61" s="6" t="s">
        <v>62</v>
      </c>
      <c r="B61" s="6">
        <f>B58*12</f>
        <v>120</v>
      </c>
      <c r="C61" s="6" t="s">
        <v>31</v>
      </c>
      <c r="D61" s="9">
        <f>B56/12</f>
        <v>0.01</v>
      </c>
      <c r="E61" s="10">
        <f>FV(D61,B61,,-B55)</f>
        <v>3300386.8945736699</v>
      </c>
    </row>
    <row r="64" spans="1:9" x14ac:dyDescent="0.3">
      <c r="A64" s="6" t="s">
        <v>64</v>
      </c>
    </row>
    <row r="66" spans="1:6" x14ac:dyDescent="0.3">
      <c r="A66" t="s">
        <v>29</v>
      </c>
      <c r="B66">
        <v>10000</v>
      </c>
      <c r="C66" s="1"/>
    </row>
    <row r="67" spans="1:6" x14ac:dyDescent="0.3">
      <c r="A67" t="s">
        <v>65</v>
      </c>
      <c r="B67" s="1">
        <v>0.12</v>
      </c>
      <c r="C67">
        <f>B67/12</f>
        <v>0.01</v>
      </c>
    </row>
    <row r="68" spans="1:6" x14ac:dyDescent="0.3">
      <c r="A68" t="s">
        <v>55</v>
      </c>
      <c r="B68">
        <v>10</v>
      </c>
      <c r="C68">
        <f>B68*12</f>
        <v>120</v>
      </c>
    </row>
    <row r="69" spans="1:6" x14ac:dyDescent="0.3">
      <c r="A69" t="s">
        <v>32</v>
      </c>
      <c r="B69" s="1">
        <v>0.1</v>
      </c>
    </row>
    <row r="70" spans="1:6" x14ac:dyDescent="0.3">
      <c r="A70" t="s">
        <v>66</v>
      </c>
      <c r="B70" s="4"/>
    </row>
    <row r="72" spans="1:6" x14ac:dyDescent="0.3">
      <c r="A72" t="s">
        <v>78</v>
      </c>
    </row>
    <row r="73" spans="1:6" x14ac:dyDescent="0.3">
      <c r="A73" t="s">
        <v>105</v>
      </c>
      <c r="B73">
        <v>-10000</v>
      </c>
    </row>
    <row r="74" spans="1:6" x14ac:dyDescent="0.3">
      <c r="A74" t="s">
        <v>106</v>
      </c>
      <c r="B74">
        <v>15</v>
      </c>
      <c r="C74">
        <f>B74*12</f>
        <v>180</v>
      </c>
    </row>
    <row r="75" spans="1:6" x14ac:dyDescent="0.3">
      <c r="A75" t="s">
        <v>107</v>
      </c>
      <c r="B75">
        <f>B74-B76</f>
        <v>2</v>
      </c>
      <c r="D75" s="5"/>
      <c r="F75" s="5"/>
    </row>
    <row r="76" spans="1:6" x14ac:dyDescent="0.3">
      <c r="A76" t="s">
        <v>108</v>
      </c>
      <c r="B76">
        <v>13</v>
      </c>
      <c r="C76">
        <f>B76*12</f>
        <v>156</v>
      </c>
    </row>
    <row r="77" spans="1:6" x14ac:dyDescent="0.3">
      <c r="A77" t="s">
        <v>31</v>
      </c>
      <c r="B77" s="1">
        <v>0.12</v>
      </c>
      <c r="C77" s="12"/>
      <c r="D77" s="4"/>
      <c r="F77" s="4"/>
    </row>
    <row r="78" spans="1:6" x14ac:dyDescent="0.3">
      <c r="C78">
        <f>B77/12</f>
        <v>0.01</v>
      </c>
      <c r="F78" s="4"/>
    </row>
    <row r="79" spans="1:6" x14ac:dyDescent="0.3">
      <c r="A79" t="s">
        <v>79</v>
      </c>
      <c r="B79" s="4">
        <f>FV(C78,C74,B73,)</f>
        <v>4995801.9753561793</v>
      </c>
    </row>
    <row r="80" spans="1:6" x14ac:dyDescent="0.3">
      <c r="A80" t="s">
        <v>80</v>
      </c>
      <c r="B80" s="4">
        <f>FV(C78,C76,B73)</f>
        <v>3722090.5425307639</v>
      </c>
    </row>
    <row r="81" spans="1:7" x14ac:dyDescent="0.3">
      <c r="A81" t="s">
        <v>81</v>
      </c>
      <c r="B81" s="4">
        <f>B80-B79</f>
        <v>-1273711.4328254154</v>
      </c>
    </row>
    <row r="82" spans="1:7" x14ac:dyDescent="0.3">
      <c r="B82" s="4"/>
      <c r="D82" s="1"/>
    </row>
    <row r="85" spans="1:7" x14ac:dyDescent="0.3">
      <c r="D85" s="4"/>
    </row>
    <row r="88" spans="1:7" x14ac:dyDescent="0.3">
      <c r="G88" s="1"/>
    </row>
    <row r="90" spans="1:7" x14ac:dyDescent="0.3">
      <c r="G90" s="4"/>
    </row>
    <row r="91" spans="1:7" x14ac:dyDescent="0.3">
      <c r="D91" s="1"/>
    </row>
    <row r="92" spans="1:7" x14ac:dyDescent="0.3">
      <c r="D92" s="4"/>
    </row>
    <row r="94" spans="1:7" x14ac:dyDescent="0.3">
      <c r="A94" t="s">
        <v>82</v>
      </c>
      <c r="B94">
        <v>-10000</v>
      </c>
      <c r="F94">
        <v>-10000</v>
      </c>
    </row>
    <row r="95" spans="1:7" x14ac:dyDescent="0.3">
      <c r="A95" t="s">
        <v>31</v>
      </c>
      <c r="B95" s="1">
        <v>0.12</v>
      </c>
      <c r="C95">
        <f>B95/12</f>
        <v>0.01</v>
      </c>
      <c r="F95" s="1">
        <v>0.12</v>
      </c>
      <c r="G95">
        <f>F95/12</f>
        <v>0.01</v>
      </c>
    </row>
    <row r="96" spans="1:7" x14ac:dyDescent="0.3">
      <c r="A96" t="s">
        <v>53</v>
      </c>
      <c r="B96">
        <v>15</v>
      </c>
      <c r="C96">
        <f>B96*12</f>
        <v>180</v>
      </c>
      <c r="F96">
        <v>24</v>
      </c>
    </row>
    <row r="97" spans="1:8" x14ac:dyDescent="0.3">
      <c r="A97" t="s">
        <v>63</v>
      </c>
      <c r="B97" s="4">
        <f>FV(C95,C96,B94,,1)</f>
        <v>5045759.9951097416</v>
      </c>
      <c r="F97" s="4">
        <f>FV(G95,F96,F94)</f>
        <v>269734.64853191498</v>
      </c>
      <c r="H97" s="4">
        <f>FV(F95,13,,-F97,1)</f>
        <v>1176985.2808430507</v>
      </c>
    </row>
    <row r="99" spans="1:8" x14ac:dyDescent="0.3">
      <c r="A99" t="s">
        <v>83</v>
      </c>
      <c r="B99">
        <v>13</v>
      </c>
      <c r="C99">
        <f>B99*12</f>
        <v>156</v>
      </c>
      <c r="F99">
        <v>-10000</v>
      </c>
    </row>
    <row r="100" spans="1:8" x14ac:dyDescent="0.3">
      <c r="A100" t="s">
        <v>63</v>
      </c>
      <c r="B100" s="4">
        <f>FV(C95,C99,B94,,1)</f>
        <v>3759311.4479560717</v>
      </c>
      <c r="F100" s="1">
        <v>0.12</v>
      </c>
      <c r="G100">
        <f>F100/12</f>
        <v>0.01</v>
      </c>
    </row>
    <row r="101" spans="1:8" x14ac:dyDescent="0.3">
      <c r="F101">
        <v>13</v>
      </c>
      <c r="G101">
        <f>F101*12</f>
        <v>156</v>
      </c>
    </row>
    <row r="103" spans="1:8" x14ac:dyDescent="0.3">
      <c r="A103" t="s">
        <v>67</v>
      </c>
      <c r="B103" s="4">
        <f>B97-B100</f>
        <v>1286448.5471536699</v>
      </c>
    </row>
    <row r="109" spans="1:8" x14ac:dyDescent="0.3">
      <c r="A109" t="s">
        <v>84</v>
      </c>
      <c r="B109">
        <v>4000000</v>
      </c>
      <c r="E109" t="s">
        <v>91</v>
      </c>
      <c r="F109">
        <f>23000+20000</f>
        <v>43000</v>
      </c>
      <c r="G109" t="s">
        <v>86</v>
      </c>
      <c r="H109">
        <v>500</v>
      </c>
    </row>
    <row r="110" spans="1:8" x14ac:dyDescent="0.3">
      <c r="A110" t="s">
        <v>72</v>
      </c>
      <c r="B110" s="1">
        <v>0.05</v>
      </c>
      <c r="E110" t="s">
        <v>31</v>
      </c>
      <c r="F110" s="1">
        <v>0.2</v>
      </c>
      <c r="G110" t="s">
        <v>31</v>
      </c>
      <c r="H110" s="1">
        <v>0.2</v>
      </c>
    </row>
    <row r="111" spans="1:8" x14ac:dyDescent="0.3">
      <c r="A111" t="s">
        <v>53</v>
      </c>
      <c r="B111">
        <v>15</v>
      </c>
      <c r="C111">
        <f>B111*12</f>
        <v>180</v>
      </c>
      <c r="E111" t="s">
        <v>53</v>
      </c>
      <c r="F111">
        <v>15</v>
      </c>
      <c r="G111" t="s">
        <v>53</v>
      </c>
      <c r="H111">
        <f>C111</f>
        <v>180</v>
      </c>
    </row>
    <row r="112" spans="1:8" x14ac:dyDescent="0.3">
      <c r="A112" t="s">
        <v>85</v>
      </c>
      <c r="B112" s="4">
        <f>FV(B110,B111,,-B109)</f>
        <v>8315712.7176454719</v>
      </c>
      <c r="E112" t="s">
        <v>92</v>
      </c>
      <c r="F112" s="4">
        <f>FV(F110,F111,,-F109)</f>
        <v>662501.92770721368</v>
      </c>
      <c r="G112" t="s">
        <v>63</v>
      </c>
      <c r="H112" s="4">
        <f>FV(C114,C111,-H109)</f>
        <v>557849.95271705079</v>
      </c>
    </row>
    <row r="114" spans="1:6" x14ac:dyDescent="0.3">
      <c r="A114" t="s">
        <v>31</v>
      </c>
      <c r="B114" s="1">
        <v>0.2</v>
      </c>
      <c r="C114">
        <f>B114/12</f>
        <v>1.6666666666666666E-2</v>
      </c>
      <c r="E114" t="s">
        <v>93</v>
      </c>
      <c r="F114" s="4">
        <f>B112-(F112+H112)</f>
        <v>7095360.8372212071</v>
      </c>
    </row>
    <row r="115" spans="1:6" x14ac:dyDescent="0.3">
      <c r="A115" t="s">
        <v>89</v>
      </c>
      <c r="B115" s="4">
        <f>PMT(C114,C111,,-F114)</f>
        <v>6359.560310673729</v>
      </c>
    </row>
    <row r="116" spans="1:6" x14ac:dyDescent="0.3">
      <c r="A116" t="s">
        <v>90</v>
      </c>
      <c r="B116" s="4">
        <f>PV(B114,B111,,-F114)</f>
        <v>460527.7407363985</v>
      </c>
    </row>
    <row r="119" spans="1:6" x14ac:dyDescent="0.3">
      <c r="A119" t="s">
        <v>86</v>
      </c>
      <c r="B119">
        <v>2500</v>
      </c>
    </row>
    <row r="120" spans="1:6" x14ac:dyDescent="0.3">
      <c r="A120" t="s">
        <v>87</v>
      </c>
      <c r="B120">
        <v>2000</v>
      </c>
    </row>
    <row r="121" spans="1:6" x14ac:dyDescent="0.3">
      <c r="A121" t="s">
        <v>88</v>
      </c>
      <c r="B121">
        <f>B119-B120</f>
        <v>500</v>
      </c>
    </row>
    <row r="127" spans="1:6" x14ac:dyDescent="0.3">
      <c r="A127" t="s">
        <v>94</v>
      </c>
    </row>
    <row r="128" spans="1:6" x14ac:dyDescent="0.3">
      <c r="A128" t="s">
        <v>95</v>
      </c>
      <c r="B128">
        <v>200000</v>
      </c>
    </row>
    <row r="129" spans="1:2" x14ac:dyDescent="0.3">
      <c r="A129" t="s">
        <v>72</v>
      </c>
      <c r="B129" s="1">
        <v>0.06</v>
      </c>
    </row>
    <row r="130" spans="1:2" x14ac:dyDescent="0.3">
      <c r="A130" t="s">
        <v>53</v>
      </c>
      <c r="B130">
        <v>2</v>
      </c>
    </row>
    <row r="131" spans="1:2" x14ac:dyDescent="0.3">
      <c r="A131" t="s">
        <v>85</v>
      </c>
      <c r="B131" s="4">
        <f>FV(B129,B130,,-B128)</f>
        <v>224720.00000000003</v>
      </c>
    </row>
    <row r="132" spans="1:2" x14ac:dyDescent="0.3">
      <c r="A132" t="s">
        <v>89</v>
      </c>
      <c r="B132" s="4">
        <f>PMT((8%/12),24,,-B128)</f>
        <v>7712.1249579034966</v>
      </c>
    </row>
  </sheetData>
  <mergeCells count="1">
    <mergeCell ref="G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50E4-956E-4909-A525-DCB04D935AF6}">
  <dimension ref="C5:I37"/>
  <sheetViews>
    <sheetView workbookViewId="0">
      <selection activeCell="I9" sqref="I9"/>
    </sheetView>
  </sheetViews>
  <sheetFormatPr defaultRowHeight="14.4" x14ac:dyDescent="0.3"/>
  <cols>
    <col min="4" max="4" width="21.5546875" bestFit="1" customWidth="1"/>
    <col min="5" max="5" width="20.21875" bestFit="1" customWidth="1"/>
    <col min="7" max="7" width="19.109375" bestFit="1" customWidth="1"/>
    <col min="8" max="8" width="12.88671875" bestFit="1" customWidth="1"/>
  </cols>
  <sheetData>
    <row r="5" spans="3:9" x14ac:dyDescent="0.3">
      <c r="C5">
        <v>300000</v>
      </c>
      <c r="G5" t="s">
        <v>70</v>
      </c>
      <c r="H5" s="4">
        <f>H14</f>
        <v>8954238.482714273</v>
      </c>
    </row>
    <row r="6" spans="3:9" x14ac:dyDescent="0.3">
      <c r="C6">
        <v>24</v>
      </c>
      <c r="G6" t="s">
        <v>65</v>
      </c>
      <c r="H6" s="1">
        <v>0.18</v>
      </c>
      <c r="I6">
        <f>H6/12</f>
        <v>1.4999999999999999E-2</v>
      </c>
    </row>
    <row r="7" spans="3:9" x14ac:dyDescent="0.3">
      <c r="C7">
        <v>8</v>
      </c>
      <c r="D7">
        <f>C7/12</f>
        <v>0.66666666666666663</v>
      </c>
      <c r="G7" t="s">
        <v>53</v>
      </c>
      <c r="H7">
        <v>10</v>
      </c>
      <c r="I7">
        <f>H7*12</f>
        <v>120</v>
      </c>
    </row>
    <row r="8" spans="3:9" x14ac:dyDescent="0.3">
      <c r="G8" s="4">
        <f>PMT(I6,I7,,H5)</f>
        <v>-27028.547086128267</v>
      </c>
    </row>
    <row r="11" spans="3:9" x14ac:dyDescent="0.3">
      <c r="G11" t="s">
        <v>71</v>
      </c>
      <c r="H11">
        <v>5000000</v>
      </c>
    </row>
    <row r="12" spans="3:9" x14ac:dyDescent="0.3">
      <c r="G12" t="s">
        <v>53</v>
      </c>
      <c r="H12">
        <v>10</v>
      </c>
    </row>
    <row r="13" spans="3:9" x14ac:dyDescent="0.3">
      <c r="G13" t="s">
        <v>72</v>
      </c>
      <c r="H13" s="1">
        <v>0.06</v>
      </c>
    </row>
    <row r="14" spans="3:9" x14ac:dyDescent="0.3">
      <c r="G14" t="s">
        <v>70</v>
      </c>
      <c r="H14" s="4">
        <f>FV(H13,H12,,-H11)</f>
        <v>8954238.482714273</v>
      </c>
    </row>
    <row r="19" spans="4:7" x14ac:dyDescent="0.3">
      <c r="G19">
        <v>1000000</v>
      </c>
    </row>
    <row r="20" spans="4:7" x14ac:dyDescent="0.3">
      <c r="G20">
        <v>5</v>
      </c>
    </row>
    <row r="21" spans="4:7" x14ac:dyDescent="0.3">
      <c r="G21" s="5">
        <v>0.1207</v>
      </c>
    </row>
    <row r="22" spans="4:7" x14ac:dyDescent="0.3">
      <c r="G22" s="4">
        <f>FV(G21,G20,,-G19)</f>
        <v>1767855.889411137</v>
      </c>
    </row>
    <row r="30" spans="4:7" x14ac:dyDescent="0.3">
      <c r="D30" t="s">
        <v>53</v>
      </c>
      <c r="E30">
        <f>85-32</f>
        <v>53</v>
      </c>
    </row>
    <row r="31" spans="4:7" x14ac:dyDescent="0.3">
      <c r="D31" t="s">
        <v>73</v>
      </c>
      <c r="E31">
        <v>3500000</v>
      </c>
    </row>
    <row r="32" spans="4:7" x14ac:dyDescent="0.3">
      <c r="D32" t="s">
        <v>74</v>
      </c>
      <c r="E32">
        <v>4000000</v>
      </c>
    </row>
    <row r="33" spans="4:5" x14ac:dyDescent="0.3">
      <c r="D33" t="s">
        <v>31</v>
      </c>
      <c r="E33" s="1">
        <v>0.08</v>
      </c>
    </row>
    <row r="34" spans="4:5" x14ac:dyDescent="0.3">
      <c r="D34" t="s">
        <v>72</v>
      </c>
      <c r="E34" s="1">
        <v>0.06</v>
      </c>
    </row>
    <row r="35" spans="4:5" x14ac:dyDescent="0.3">
      <c r="D35" t="s">
        <v>75</v>
      </c>
      <c r="E35">
        <v>50000</v>
      </c>
    </row>
    <row r="36" spans="4:5" x14ac:dyDescent="0.3">
      <c r="D36" t="s">
        <v>76</v>
      </c>
      <c r="E36">
        <v>30</v>
      </c>
    </row>
    <row r="37" spans="4:5" x14ac:dyDescent="0.3">
      <c r="D37" t="s">
        <v>77</v>
      </c>
      <c r="E37" s="5">
        <f>(1+E33)/(1+E34)-1</f>
        <v>1.8867924528301883E-2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Gupta</dc:creator>
  <cp:lastModifiedBy>Akash Gupta</cp:lastModifiedBy>
  <dcterms:created xsi:type="dcterms:W3CDTF">2015-06-05T18:17:20Z</dcterms:created>
  <dcterms:modified xsi:type="dcterms:W3CDTF">2025-12-23T10:39:31Z</dcterms:modified>
</cp:coreProperties>
</file>